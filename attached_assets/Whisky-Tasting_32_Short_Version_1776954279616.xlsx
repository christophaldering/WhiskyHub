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13_ncr:1_{8E6CAE3E-754A-46B4-BC9E-BB93AEF4D65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hiskies" sheetId="1" r:id="rId1"/>
    <sheet name="Instruction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4" i="1" l="1"/>
  <c r="N15" i="1" s="1"/>
</calcChain>
</file>

<file path=xl/sharedStrings.xml><?xml version="1.0" encoding="utf-8"?>
<sst xmlns="http://schemas.openxmlformats.org/spreadsheetml/2006/main" count="218" uniqueCount="111">
  <si>
    <t>#</t>
  </si>
  <si>
    <t>Name *</t>
  </si>
  <si>
    <t>Distillery</t>
  </si>
  <si>
    <t>Age</t>
  </si>
  <si>
    <t>ABV %</t>
  </si>
  <si>
    <t>Category</t>
  </si>
  <si>
    <t>Region</t>
  </si>
  <si>
    <t>Country</t>
  </si>
  <si>
    <t>Cask Type</t>
  </si>
  <si>
    <t>Peat Level</t>
  </si>
  <si>
    <t>PPM</t>
  </si>
  <si>
    <t>Bottler</t>
  </si>
  <si>
    <t>Vintage</t>
  </si>
  <si>
    <t>Price</t>
  </si>
  <si>
    <t>Whiskybase ID</t>
  </si>
  <si>
    <t>Notes</t>
  </si>
  <si>
    <t>Host Summary</t>
  </si>
  <si>
    <t>Lagavulin 16</t>
  </si>
  <si>
    <t>Lagavulin</t>
  </si>
  <si>
    <t>Single Malt</t>
  </si>
  <si>
    <t>Islay</t>
  </si>
  <si>
    <t>Scotland</t>
  </si>
  <si>
    <t>Bourbon- und Sherryfässer</t>
  </si>
  <si>
    <t>Medium Peated</t>
  </si>
  <si>
    <t/>
  </si>
  <si>
    <t>Release 1.2 Sweet Smoke</t>
  </si>
  <si>
    <t>Ailsa Bay</t>
  </si>
  <si>
    <t>n.a.s.</t>
  </si>
  <si>
    <t>Lowland</t>
  </si>
  <si>
    <t>Ex-Hudson-Bourbonfässer, Virgin Oak, First Fill und Refill Amerikanische Weißeichenfässer</t>
  </si>
  <si>
    <t>Lightly Peated</t>
  </si>
  <si>
    <t>Uigeadail</t>
  </si>
  <si>
    <t>Ardbeg</t>
  </si>
  <si>
    <t>Ex-Bourbon- und Sherryfässer</t>
  </si>
  <si>
    <t>Heavily Peated</t>
  </si>
  <si>
    <t>An Oa</t>
  </si>
  <si>
    <t>PX-Sherryfässer, neue Eichenfässer und Bourbonfässer. Verheiratung im Gathering Vat.</t>
  </si>
  <si>
    <t>Port Charlotte</t>
  </si>
  <si>
    <t>Bruichladdich</t>
  </si>
  <si>
    <t>1st und 2nd Fill amerikanische Eichenfässer, 2nd Fill französische Weinfässer</t>
  </si>
  <si>
    <t>Deep &amp; Complex</t>
  </si>
  <si>
    <t>Bowmore</t>
  </si>
  <si>
    <t>Oloroso und Pedro Ximénez Sherryfässer</t>
  </si>
  <si>
    <t>Toiteach A Dhà</t>
  </si>
  <si>
    <t>Bunnahabhain</t>
  </si>
  <si>
    <t>Caol Ila</t>
  </si>
  <si>
    <t>Refill-Fässer aus amerikanischer und europäischer Eiche, Finish in Muskatellerfässern und nachgekohlten Fässern aus amerikanischer Eiche</t>
  </si>
  <si>
    <t>Loch Gorm</t>
  </si>
  <si>
    <t>Kilchoman</t>
  </si>
  <si>
    <t>Oloroso Sherry Butts</t>
  </si>
  <si>
    <t>Cask Strength Batch 17</t>
  </si>
  <si>
    <t>Laphroaig</t>
  </si>
  <si>
    <t>Ex-Bourbonfässer</t>
  </si>
  <si>
    <t>Ledaig</t>
  </si>
  <si>
    <t>Tobermory</t>
  </si>
  <si>
    <t>Eichenfässer und Finish in Sherryfässern</t>
  </si>
  <si>
    <t>Kilkerran</t>
  </si>
  <si>
    <t>Bourbon und Sherryfass</t>
  </si>
  <si>
    <t>Field</t>
  </si>
  <si>
    <t>Required</t>
  </si>
  <si>
    <t>Format</t>
  </si>
  <si>
    <t>Description</t>
  </si>
  <si>
    <t>Example</t>
  </si>
  <si>
    <t>Auto</t>
  </si>
  <si>
    <t>Number</t>
  </si>
  <si>
    <t>Sort order, auto-filled if empty</t>
  </si>
  <si>
    <t>1</t>
  </si>
  <si>
    <t>Name</t>
  </si>
  <si>
    <t>Yes</t>
  </si>
  <si>
    <t>Text</t>
  </si>
  <si>
    <t>Full whisky name including age statement</t>
  </si>
  <si>
    <t>Lagavulin 16y</t>
  </si>
  <si>
    <t>No</t>
  </si>
  <si>
    <t>Distillery name</t>
  </si>
  <si>
    <t>Number or NAS</t>
  </si>
  <si>
    <t>Age in years or NAS for no age statement</t>
  </si>
  <si>
    <t>16</t>
  </si>
  <si>
    <t>Decimal</t>
  </si>
  <si>
    <t>Alcohol by volume in %. Enter 43 not 0.43</t>
  </si>
  <si>
    <t>43</t>
  </si>
  <si>
    <t>Dropdown</t>
  </si>
  <si>
    <t>Single Malt, Blended Malt, Bourbon, Rye, etc.</t>
  </si>
  <si>
    <t>Whisky region (Islay, Speyside, Highland, etc.)</t>
  </si>
  <si>
    <t>Country of origin</t>
  </si>
  <si>
    <t>Cask influence / maturation details</t>
  </si>
  <si>
    <t>Ex-Bourbon &amp; Sherry</t>
  </si>
  <si>
    <t>None, Light, Medium, Heavy</t>
  </si>
  <si>
    <t>Heavy</t>
  </si>
  <si>
    <t>Phenol parts per million (if known)</t>
  </si>
  <si>
    <t>35</t>
  </si>
  <si>
    <t>Bottler name. OB = Official Bottling</t>
  </si>
  <si>
    <t>OB</t>
  </si>
  <si>
    <t>Text/Year</t>
  </si>
  <si>
    <t>Distillation or bottling year</t>
  </si>
  <si>
    <t>2015</t>
  </si>
  <si>
    <t>Bottle price (0.7l) in your currency</t>
  </si>
  <si>
    <t>75</t>
  </si>
  <si>
    <t>Whiskybase catalog number for linking</t>
  </si>
  <si>
    <t>548</t>
  </si>
  <si>
    <t>Additional tasting notes or context</t>
  </si>
  <si>
    <t>Classic Islay</t>
  </si>
  <si>
    <t>Hosts detailed review/assessment</t>
  </si>
  <si>
    <t>Deep smoke...</t>
  </si>
  <si>
    <t>TIPS</t>
  </si>
  <si>
    <t>Only Name is required. All other fields are optional.</t>
  </si>
  <si>
    <t>Delete the grey example rows before importing.</t>
  </si>
  <si>
    <t>ABV: Enter as percentage (43), not decimal (0.43).</t>
  </si>
  <si>
    <t>Whiskybase ID: Find on whiskybase.com in the URL (/whiskies/548).</t>
  </si>
  <si>
    <t>The # column sets the tasting order. Leave empty for auto-numbering.</t>
  </si>
  <si>
    <t>Heavily Peated Batch 13 2026</t>
  </si>
  <si>
    <t>Distillers Edition 2011/2023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</si>
</sst>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#,##0.00\ &quot;€&quot;;[Red]\-#,##0.00\ &quot;€&quot;"/>
    <numFmt numFmtId="164" formatCode="0.0%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i/>
      <sz val="10"/>
      <color rgb="FF999999"/>
      <name val="Calibri"/>
    </font>
    <font>
      <b/>
      <sz val="11"/>
      <name val="Calibri"/>
    </font>
    <font>
      <sz val="11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8B6914"/>
      </patternFill>
    </fill>
    <fill>
      <patternFill patternType="solid">
        <fgColor rgb="FF382F28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vertical="center"/>
    </xf>
    <xf numFmtId="0" fontId="1" fillId="3" borderId="0" xfId="0" applyFont="1" applyFill="1"/>
    <xf numFmtId="0" fontId="0" fillId="0" borderId="0" xfId="0" applyAlignment="1">
      <alignment vertical="center" wrapText="1"/>
    </xf>
    <xf numFmtId="0" fontId="3" fillId="0" borderId="0" xfId="0" applyFont="1"/>
    <xf numFmtId="0" fontId="4" fillId="0" borderId="0" xfId="0" applyFont="1"/>
    <xf numFmtId="164" fontId="4" fillId="0" borderId="0" xfId="0" applyNumberFormat="1" applyFont="1"/>
    <xf numFmtId="0" fontId="4" fillId="0" borderId="0" xfId="0" applyFont="1" applyAlignment="1">
      <alignment wrapText="1"/>
    </xf>
    <xf numFmtId="8" fontId="4" fillId="0" borderId="0" xfId="0" applyNumberFormat="1" applyFont="1"/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8" fontId="4" fillId="0" borderId="1" xfId="0" applyNumberFormat="1" applyFont="1" applyBorder="1"/>
    <xf numFmtId="0" fontId="4" fillId="4" borderId="0" xfId="0" applyFont="1" applyFill="1"/>
    <xf numFmtId="0" fontId="4" fillId="0" borderId="0" xfId="0" applyFon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9A76C"/>
  </sheetPr>
  <dimension ref="A1:Q25"/>
  <sheetViews>
    <sheetView tabSelected="1" workbookViewId="0">
      <pane ySplit="1" topLeftCell="A2" activePane="bottomLeft" state="frozen"/>
      <selection pane="bottomLeft" activeCell="F19" sqref="F19"/>
    </sheetView>
  </sheetViews>
  <sheetFormatPr baseColWidth="10" defaultColWidth="9.140625" defaultRowHeight="15" x14ac:dyDescent="0.25"/>
  <cols>
    <col min="1" max="1" width="5" customWidth="1"/>
    <col min="2" max="2" width="35" customWidth="1"/>
    <col min="3" max="3" width="22" customWidth="1"/>
    <col min="4" max="4" width="8" style="11" customWidth="1"/>
    <col min="6" max="6" width="18" customWidth="1"/>
    <col min="7" max="7" width="16" customWidth="1"/>
    <col min="8" max="8" width="14" customWidth="1"/>
    <col min="9" max="9" width="56.140625" customWidth="1"/>
    <col min="10" max="10" width="12" customWidth="1"/>
    <col min="11" max="11" width="8" customWidth="1"/>
    <col min="12" max="12" width="18" customWidth="1"/>
    <col min="13" max="14" width="10" customWidth="1"/>
    <col min="15" max="15" width="14" customWidth="1"/>
    <col min="16" max="17" width="30" customWidth="1"/>
  </cols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s="2" customFormat="1" ht="28.5" x14ac:dyDescent="0.2">
      <c r="A2" s="2">
        <v>1</v>
      </c>
      <c r="B2" s="13" t="s">
        <v>25</v>
      </c>
      <c r="C2" s="13" t="s">
        <v>26</v>
      </c>
      <c r="D2" s="10" t="s">
        <v>27</v>
      </c>
      <c r="E2" s="7">
        <v>0.48899999999999999</v>
      </c>
      <c r="F2" s="6" t="s">
        <v>19</v>
      </c>
      <c r="G2" s="6" t="s">
        <v>28</v>
      </c>
      <c r="H2" s="6" t="s">
        <v>21</v>
      </c>
      <c r="I2" s="8" t="s">
        <v>29</v>
      </c>
      <c r="J2" s="8" t="s">
        <v>30</v>
      </c>
      <c r="K2" s="6">
        <v>22</v>
      </c>
      <c r="L2" s="6" t="s">
        <v>26</v>
      </c>
      <c r="M2" s="2" t="s">
        <v>24</v>
      </c>
      <c r="N2" s="9">
        <v>66.900000000000006</v>
      </c>
    </row>
    <row r="3" spans="1:17" s="2" customFormat="1" ht="28.5" x14ac:dyDescent="0.2">
      <c r="A3" s="2">
        <v>2</v>
      </c>
      <c r="B3" s="13" t="s">
        <v>17</v>
      </c>
      <c r="C3" s="13" t="s">
        <v>18</v>
      </c>
      <c r="D3" s="10">
        <v>16</v>
      </c>
      <c r="E3" s="7">
        <v>0.43</v>
      </c>
      <c r="F3" s="6" t="s">
        <v>19</v>
      </c>
      <c r="G3" s="6" t="s">
        <v>20</v>
      </c>
      <c r="H3" s="6" t="s">
        <v>21</v>
      </c>
      <c r="I3" s="8" t="s">
        <v>22</v>
      </c>
      <c r="J3" s="8" t="s">
        <v>23</v>
      </c>
      <c r="K3" s="6">
        <v>35</v>
      </c>
      <c r="L3" s="6" t="s">
        <v>18</v>
      </c>
      <c r="M3" s="2" t="s">
        <v>24</v>
      </c>
      <c r="N3" s="9">
        <v>57.9</v>
      </c>
    </row>
    <row r="4" spans="1:17" s="2" customFormat="1" ht="29.25" x14ac:dyDescent="0.25">
      <c r="A4" s="2">
        <v>3</v>
      </c>
      <c r="B4" s="13" t="s">
        <v>40</v>
      </c>
      <c r="C4" s="13" t="s">
        <v>41</v>
      </c>
      <c r="D4" s="10">
        <v>18</v>
      </c>
      <c r="E4" s="7">
        <v>0.43</v>
      </c>
      <c r="F4" s="6" t="s">
        <v>19</v>
      </c>
      <c r="G4" s="6" t="s">
        <v>20</v>
      </c>
      <c r="H4" s="6" t="s">
        <v>21</v>
      </c>
      <c r="I4" s="8" t="s">
        <v>42</v>
      </c>
      <c r="J4" s="8" t="s">
        <v>23</v>
      </c>
      <c r="K4" s="6">
        <v>35</v>
      </c>
      <c r="L4" s="6" t="s">
        <v>41</v>
      </c>
      <c r="M4"/>
      <c r="N4" s="9">
        <v>84.95</v>
      </c>
    </row>
    <row r="5" spans="1:17" s="2" customFormat="1" ht="29.25" x14ac:dyDescent="0.25">
      <c r="A5" s="2">
        <v>4</v>
      </c>
      <c r="B5" s="13" t="s">
        <v>43</v>
      </c>
      <c r="C5" s="13" t="s">
        <v>44</v>
      </c>
      <c r="D5" s="10" t="s">
        <v>27</v>
      </c>
      <c r="E5" s="7">
        <v>0.46300000000000002</v>
      </c>
      <c r="F5" s="6" t="s">
        <v>19</v>
      </c>
      <c r="G5" s="6" t="s">
        <v>20</v>
      </c>
      <c r="H5" s="6" t="s">
        <v>21</v>
      </c>
      <c r="I5" s="8" t="s">
        <v>22</v>
      </c>
      <c r="J5" s="8" t="s">
        <v>23</v>
      </c>
      <c r="K5" s="6">
        <v>35</v>
      </c>
      <c r="L5" s="6" t="s">
        <v>44</v>
      </c>
      <c r="M5"/>
      <c r="N5" s="9">
        <v>40.5</v>
      </c>
    </row>
    <row r="6" spans="1:17" ht="43.5" x14ac:dyDescent="0.25">
      <c r="A6" s="2">
        <v>5</v>
      </c>
      <c r="B6" s="14" t="s">
        <v>110</v>
      </c>
      <c r="C6" s="14" t="s">
        <v>45</v>
      </c>
      <c r="D6" s="10">
        <v>12</v>
      </c>
      <c r="E6" s="7">
        <v>0.43</v>
      </c>
      <c r="F6" s="6" t="s">
        <v>19</v>
      </c>
      <c r="G6" s="6" t="s">
        <v>20</v>
      </c>
      <c r="H6" s="6" t="s">
        <v>21</v>
      </c>
      <c r="I6" s="8" t="s">
        <v>46</v>
      </c>
      <c r="J6" s="8" t="s">
        <v>23</v>
      </c>
      <c r="K6" s="6">
        <v>35</v>
      </c>
      <c r="L6" s="6" t="s">
        <v>45</v>
      </c>
      <c r="N6" s="9">
        <v>57.95</v>
      </c>
    </row>
    <row r="7" spans="1:17" ht="29.25" x14ac:dyDescent="0.25">
      <c r="A7" s="2">
        <v>6</v>
      </c>
      <c r="B7" s="13" t="s">
        <v>53</v>
      </c>
      <c r="C7" s="13" t="s">
        <v>54</v>
      </c>
      <c r="D7" s="10">
        <v>18</v>
      </c>
      <c r="E7" s="7">
        <v>0.46300000000000002</v>
      </c>
      <c r="F7" s="6" t="s">
        <v>19</v>
      </c>
      <c r="G7" s="6" t="s">
        <v>20</v>
      </c>
      <c r="H7" s="6" t="s">
        <v>21</v>
      </c>
      <c r="I7" s="8" t="s">
        <v>55</v>
      </c>
      <c r="J7" s="8" t="s">
        <v>23</v>
      </c>
      <c r="K7" s="6">
        <v>35</v>
      </c>
      <c r="L7" s="6" t="s">
        <v>54</v>
      </c>
      <c r="N7" s="9">
        <v>138.5</v>
      </c>
    </row>
    <row r="8" spans="1:17" ht="29.25" x14ac:dyDescent="0.25">
      <c r="A8" s="2">
        <v>7</v>
      </c>
      <c r="B8" s="13" t="s">
        <v>37</v>
      </c>
      <c r="C8" s="13" t="s">
        <v>38</v>
      </c>
      <c r="D8" s="10">
        <v>10</v>
      </c>
      <c r="E8" s="7">
        <v>0.5</v>
      </c>
      <c r="F8" s="6" t="s">
        <v>19</v>
      </c>
      <c r="G8" s="6" t="s">
        <v>20</v>
      </c>
      <c r="H8" s="6" t="s">
        <v>21</v>
      </c>
      <c r="I8" s="8" t="s">
        <v>39</v>
      </c>
      <c r="J8" s="8" t="s">
        <v>34</v>
      </c>
      <c r="K8" s="6">
        <v>40</v>
      </c>
      <c r="L8" s="6" t="s">
        <v>38</v>
      </c>
      <c r="N8" s="9">
        <v>52.95</v>
      </c>
    </row>
    <row r="9" spans="1:17" ht="29.25" x14ac:dyDescent="0.25">
      <c r="A9" s="2">
        <v>8</v>
      </c>
      <c r="B9" s="13" t="s">
        <v>50</v>
      </c>
      <c r="C9" s="13" t="s">
        <v>51</v>
      </c>
      <c r="D9" s="10">
        <v>10</v>
      </c>
      <c r="E9" s="7">
        <v>0.58299999999999996</v>
      </c>
      <c r="F9" s="6" t="s">
        <v>19</v>
      </c>
      <c r="G9" s="6" t="s">
        <v>20</v>
      </c>
      <c r="H9" s="6" t="s">
        <v>21</v>
      </c>
      <c r="I9" s="8" t="s">
        <v>52</v>
      </c>
      <c r="J9" s="8" t="s">
        <v>34</v>
      </c>
      <c r="K9" s="6">
        <v>45</v>
      </c>
      <c r="L9" s="6" t="s">
        <v>51</v>
      </c>
      <c r="N9" s="9">
        <v>54.9</v>
      </c>
    </row>
    <row r="10" spans="1:17" ht="29.25" x14ac:dyDescent="0.25">
      <c r="A10" s="2">
        <v>9</v>
      </c>
      <c r="B10" s="13" t="s">
        <v>109</v>
      </c>
      <c r="C10" s="13" t="s">
        <v>56</v>
      </c>
      <c r="D10" s="10" t="s">
        <v>27</v>
      </c>
      <c r="E10" s="7">
        <v>0.58399999999999996</v>
      </c>
      <c r="F10" s="6" t="s">
        <v>19</v>
      </c>
      <c r="G10" s="6" t="s">
        <v>20</v>
      </c>
      <c r="H10" s="6" t="s">
        <v>21</v>
      </c>
      <c r="I10" s="8" t="s">
        <v>57</v>
      </c>
      <c r="J10" s="8" t="s">
        <v>34</v>
      </c>
      <c r="K10" s="6">
        <v>45</v>
      </c>
      <c r="L10" s="6" t="s">
        <v>56</v>
      </c>
      <c r="N10" s="9">
        <v>71.95</v>
      </c>
    </row>
    <row r="11" spans="1:17" ht="29.25" x14ac:dyDescent="0.25">
      <c r="A11" s="2">
        <v>10</v>
      </c>
      <c r="B11" s="13" t="s">
        <v>35</v>
      </c>
      <c r="C11" s="13" t="s">
        <v>32</v>
      </c>
      <c r="D11" s="10" t="s">
        <v>27</v>
      </c>
      <c r="E11" s="7">
        <v>0.46600000000000003</v>
      </c>
      <c r="F11" s="6" t="s">
        <v>19</v>
      </c>
      <c r="G11" s="6" t="s">
        <v>20</v>
      </c>
      <c r="H11" s="6" t="s">
        <v>21</v>
      </c>
      <c r="I11" s="8" t="s">
        <v>36</v>
      </c>
      <c r="J11" s="8" t="s">
        <v>34</v>
      </c>
      <c r="K11" s="6">
        <v>50</v>
      </c>
      <c r="L11" s="6" t="s">
        <v>32</v>
      </c>
      <c r="M11" s="2" t="s">
        <v>24</v>
      </c>
      <c r="N11" s="9">
        <v>45.95</v>
      </c>
    </row>
    <row r="12" spans="1:17" ht="29.25" x14ac:dyDescent="0.25">
      <c r="A12" s="2">
        <v>11</v>
      </c>
      <c r="B12" s="13" t="s">
        <v>47</v>
      </c>
      <c r="C12" s="13" t="s">
        <v>48</v>
      </c>
      <c r="D12" s="10">
        <v>10</v>
      </c>
      <c r="E12" s="7">
        <v>0.46</v>
      </c>
      <c r="F12" s="6" t="s">
        <v>19</v>
      </c>
      <c r="G12" s="6" t="s">
        <v>20</v>
      </c>
      <c r="H12" s="6" t="s">
        <v>21</v>
      </c>
      <c r="I12" s="8" t="s">
        <v>49</v>
      </c>
      <c r="J12" s="8" t="s">
        <v>34</v>
      </c>
      <c r="K12" s="6">
        <v>50</v>
      </c>
      <c r="L12" s="6" t="s">
        <v>48</v>
      </c>
      <c r="N12" s="9">
        <v>87.9</v>
      </c>
    </row>
    <row r="13" spans="1:17" ht="29.25" x14ac:dyDescent="0.25">
      <c r="A13" s="2">
        <v>12</v>
      </c>
      <c r="B13" s="13" t="s">
        <v>31</v>
      </c>
      <c r="C13" s="13" t="s">
        <v>32</v>
      </c>
      <c r="D13" s="10" t="s">
        <v>27</v>
      </c>
      <c r="E13" s="7">
        <v>0.54200000000000004</v>
      </c>
      <c r="F13" s="6" t="s">
        <v>19</v>
      </c>
      <c r="G13" s="6" t="s">
        <v>20</v>
      </c>
      <c r="H13" s="6" t="s">
        <v>21</v>
      </c>
      <c r="I13" s="8" t="s">
        <v>33</v>
      </c>
      <c r="J13" s="8" t="s">
        <v>34</v>
      </c>
      <c r="K13" s="6">
        <v>55</v>
      </c>
      <c r="L13" s="6" t="s">
        <v>32</v>
      </c>
      <c r="M13" s="2" t="s">
        <v>24</v>
      </c>
      <c r="N13" s="9">
        <v>61.95</v>
      </c>
    </row>
    <row r="14" spans="1:17" ht="15.75" thickBot="1" x14ac:dyDescent="0.3">
      <c r="A14">
        <v>10</v>
      </c>
      <c r="N14" s="12">
        <f>SUM(N2:N13)</f>
        <v>822.30000000000007</v>
      </c>
    </row>
    <row r="15" spans="1:17" ht="15.75" thickTop="1" x14ac:dyDescent="0.25">
      <c r="A15">
        <v>11</v>
      </c>
      <c r="N15" s="9">
        <f>N14/12</f>
        <v>68.525000000000006</v>
      </c>
    </row>
    <row r="16" spans="1:17" x14ac:dyDescent="0.25">
      <c r="A16">
        <v>12</v>
      </c>
    </row>
    <row r="17" spans="1:1" x14ac:dyDescent="0.25">
      <c r="A17">
        <v>13</v>
      </c>
    </row>
    <row r="18" spans="1:1" x14ac:dyDescent="0.25">
      <c r="A18">
        <v>14</v>
      </c>
    </row>
    <row r="19" spans="1:1" x14ac:dyDescent="0.25">
      <c r="A19">
        <v>15</v>
      </c>
    </row>
    <row r="20" spans="1:1" x14ac:dyDescent="0.25">
      <c r="A20">
        <v>16</v>
      </c>
    </row>
    <row r="21" spans="1:1" x14ac:dyDescent="0.25">
      <c r="A21">
        <v>17</v>
      </c>
    </row>
    <row r="22" spans="1:1" x14ac:dyDescent="0.25">
      <c r="A22">
        <v>18</v>
      </c>
    </row>
    <row r="23" spans="1:1" x14ac:dyDescent="0.25">
      <c r="A23">
        <v>19</v>
      </c>
    </row>
    <row r="24" spans="1:1" x14ac:dyDescent="0.25">
      <c r="A24">
        <v>20</v>
      </c>
    </row>
    <row r="25" spans="1:1" x14ac:dyDescent="0.25">
      <c r="A25">
        <v>21</v>
      </c>
    </row>
  </sheetData>
  <sortState xmlns:xlrd2="http://schemas.microsoft.com/office/spreadsheetml/2017/richdata2" ref="A2:N13">
    <sortCondition ref="K2:K13"/>
  </sortState>
  <dataValidations count="2">
    <dataValidation type="list" allowBlank="1" sqref="F14:F100" xr:uid="{00000000-0002-0000-0000-000000000000}">
      <formula1>"Single Malt,Blended Malt,Blended,Bourbon,Rye,Irish,Japanese,Other"</formula1>
    </dataValidation>
    <dataValidation type="list" allowBlank="1" sqref="J14:J100" xr:uid="{00000000-0002-0000-0000-000001000000}">
      <formula1>"None,Light,Medium,Heavy"</formula1>
    </dataValidation>
  </dataValidation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382F28"/>
  </sheetPr>
  <dimension ref="A1:E25"/>
  <sheetViews>
    <sheetView zoomScaleNormal="100" zoomScaleSheetLayoutView="100" workbookViewId="0"/>
  </sheetViews>
  <sheetFormatPr baseColWidth="10" defaultColWidth="9.140625" defaultRowHeight="15" x14ac:dyDescent="0.25"/>
  <cols>
    <col min="1" max="1" width="20" customWidth="1"/>
    <col min="2" max="2" width="10" customWidth="1"/>
    <col min="3" max="3" width="25" customWidth="1"/>
    <col min="4" max="4" width="50" customWidth="1"/>
    <col min="5" max="5" width="25" customWidth="1"/>
  </cols>
  <sheetData>
    <row r="1" spans="1:5" s="3" customFormat="1" x14ac:dyDescent="0.25">
      <c r="A1" s="3" t="s">
        <v>58</v>
      </c>
      <c r="B1" s="3" t="s">
        <v>59</v>
      </c>
      <c r="C1" s="3" t="s">
        <v>60</v>
      </c>
      <c r="D1" s="3" t="s">
        <v>61</v>
      </c>
      <c r="E1" s="3" t="s">
        <v>62</v>
      </c>
    </row>
    <row r="2" spans="1:5" s="4" customFormat="1" x14ac:dyDescent="0.25">
      <c r="A2" s="4" t="s">
        <v>0</v>
      </c>
      <c r="B2" s="4" t="s">
        <v>63</v>
      </c>
      <c r="C2" s="4" t="s">
        <v>64</v>
      </c>
      <c r="D2" s="4" t="s">
        <v>65</v>
      </c>
      <c r="E2" s="4" t="s">
        <v>66</v>
      </c>
    </row>
    <row r="3" spans="1:5" s="4" customFormat="1" x14ac:dyDescent="0.25">
      <c r="A3" s="4" t="s">
        <v>67</v>
      </c>
      <c r="B3" s="4" t="s">
        <v>68</v>
      </c>
      <c r="C3" s="4" t="s">
        <v>69</v>
      </c>
      <c r="D3" s="4" t="s">
        <v>70</v>
      </c>
      <c r="E3" s="4" t="s">
        <v>71</v>
      </c>
    </row>
    <row r="4" spans="1:5" s="4" customFormat="1" x14ac:dyDescent="0.25">
      <c r="A4" s="4" t="s">
        <v>2</v>
      </c>
      <c r="B4" s="4" t="s">
        <v>72</v>
      </c>
      <c r="C4" s="4" t="s">
        <v>69</v>
      </c>
      <c r="D4" s="4" t="s">
        <v>73</v>
      </c>
      <c r="E4" s="4" t="s">
        <v>18</v>
      </c>
    </row>
    <row r="5" spans="1:5" s="4" customFormat="1" x14ac:dyDescent="0.25">
      <c r="A5" s="4" t="s">
        <v>3</v>
      </c>
      <c r="B5" s="4" t="s">
        <v>72</v>
      </c>
      <c r="C5" s="4" t="s">
        <v>74</v>
      </c>
      <c r="D5" s="4" t="s">
        <v>75</v>
      </c>
      <c r="E5" s="4" t="s">
        <v>76</v>
      </c>
    </row>
    <row r="6" spans="1:5" s="4" customFormat="1" x14ac:dyDescent="0.25">
      <c r="A6" s="4" t="s">
        <v>4</v>
      </c>
      <c r="B6" s="4" t="s">
        <v>72</v>
      </c>
      <c r="C6" s="4" t="s">
        <v>77</v>
      </c>
      <c r="D6" s="4" t="s">
        <v>78</v>
      </c>
      <c r="E6" s="4" t="s">
        <v>79</v>
      </c>
    </row>
    <row r="7" spans="1:5" s="4" customFormat="1" x14ac:dyDescent="0.25">
      <c r="A7" s="4" t="s">
        <v>5</v>
      </c>
      <c r="B7" s="4" t="s">
        <v>72</v>
      </c>
      <c r="C7" s="4" t="s">
        <v>80</v>
      </c>
      <c r="D7" s="4" t="s">
        <v>81</v>
      </c>
      <c r="E7" s="4" t="s">
        <v>19</v>
      </c>
    </row>
    <row r="8" spans="1:5" s="4" customFormat="1" x14ac:dyDescent="0.25">
      <c r="A8" s="4" t="s">
        <v>6</v>
      </c>
      <c r="B8" s="4" t="s">
        <v>72</v>
      </c>
      <c r="C8" s="4" t="s">
        <v>69</v>
      </c>
      <c r="D8" s="4" t="s">
        <v>82</v>
      </c>
      <c r="E8" s="4" t="s">
        <v>20</v>
      </c>
    </row>
    <row r="9" spans="1:5" s="4" customFormat="1" x14ac:dyDescent="0.25">
      <c r="A9" s="4" t="s">
        <v>7</v>
      </c>
      <c r="B9" s="4" t="s">
        <v>72</v>
      </c>
      <c r="C9" s="4" t="s">
        <v>69</v>
      </c>
      <c r="D9" s="4" t="s">
        <v>83</v>
      </c>
      <c r="E9" s="4" t="s">
        <v>21</v>
      </c>
    </row>
    <row r="10" spans="1:5" s="4" customFormat="1" x14ac:dyDescent="0.25">
      <c r="A10" s="4" t="s">
        <v>8</v>
      </c>
      <c r="B10" s="4" t="s">
        <v>72</v>
      </c>
      <c r="C10" s="4" t="s">
        <v>69</v>
      </c>
      <c r="D10" s="4" t="s">
        <v>84</v>
      </c>
      <c r="E10" s="4" t="s">
        <v>85</v>
      </c>
    </row>
    <row r="11" spans="1:5" s="4" customFormat="1" x14ac:dyDescent="0.25">
      <c r="A11" s="4" t="s">
        <v>9</v>
      </c>
      <c r="B11" s="4" t="s">
        <v>72</v>
      </c>
      <c r="C11" s="4" t="s">
        <v>80</v>
      </c>
      <c r="D11" s="4" t="s">
        <v>86</v>
      </c>
      <c r="E11" s="4" t="s">
        <v>87</v>
      </c>
    </row>
    <row r="12" spans="1:5" s="4" customFormat="1" x14ac:dyDescent="0.25">
      <c r="A12" s="4" t="s">
        <v>10</v>
      </c>
      <c r="B12" s="4" t="s">
        <v>72</v>
      </c>
      <c r="C12" s="4" t="s">
        <v>64</v>
      </c>
      <c r="D12" s="4" t="s">
        <v>88</v>
      </c>
      <c r="E12" s="4" t="s">
        <v>89</v>
      </c>
    </row>
    <row r="13" spans="1:5" s="4" customFormat="1" x14ac:dyDescent="0.25">
      <c r="A13" s="4" t="s">
        <v>11</v>
      </c>
      <c r="B13" s="4" t="s">
        <v>72</v>
      </c>
      <c r="C13" s="4" t="s">
        <v>69</v>
      </c>
      <c r="D13" s="4" t="s">
        <v>90</v>
      </c>
      <c r="E13" s="4" t="s">
        <v>91</v>
      </c>
    </row>
    <row r="14" spans="1:5" s="4" customFormat="1" x14ac:dyDescent="0.25">
      <c r="A14" s="4" t="s">
        <v>12</v>
      </c>
      <c r="B14" s="4" t="s">
        <v>72</v>
      </c>
      <c r="C14" s="4" t="s">
        <v>92</v>
      </c>
      <c r="D14" s="4" t="s">
        <v>93</v>
      </c>
      <c r="E14" s="4" t="s">
        <v>94</v>
      </c>
    </row>
    <row r="15" spans="1:5" s="4" customFormat="1" x14ac:dyDescent="0.25">
      <c r="A15" s="4" t="s">
        <v>13</v>
      </c>
      <c r="B15" s="4" t="s">
        <v>72</v>
      </c>
      <c r="C15" s="4" t="s">
        <v>64</v>
      </c>
      <c r="D15" s="4" t="s">
        <v>95</v>
      </c>
      <c r="E15" s="4" t="s">
        <v>96</v>
      </c>
    </row>
    <row r="16" spans="1:5" s="4" customFormat="1" x14ac:dyDescent="0.25">
      <c r="A16" s="4" t="s">
        <v>14</v>
      </c>
      <c r="B16" s="4" t="s">
        <v>72</v>
      </c>
      <c r="C16" s="4" t="s">
        <v>64</v>
      </c>
      <c r="D16" s="4" t="s">
        <v>97</v>
      </c>
      <c r="E16" s="4" t="s">
        <v>98</v>
      </c>
    </row>
    <row r="17" spans="1:5" s="4" customFormat="1" x14ac:dyDescent="0.25">
      <c r="A17" s="4" t="s">
        <v>15</v>
      </c>
      <c r="B17" s="4" t="s">
        <v>72</v>
      </c>
      <c r="C17" s="4" t="s">
        <v>69</v>
      </c>
      <c r="D17" s="4" t="s">
        <v>99</v>
      </c>
      <c r="E17" s="4" t="s">
        <v>100</v>
      </c>
    </row>
    <row r="18" spans="1:5" s="4" customFormat="1" x14ac:dyDescent="0.25">
      <c r="A18" s="4" t="s">
        <v>16</v>
      </c>
      <c r="B18" s="4" t="s">
        <v>72</v>
      </c>
      <c r="C18" s="4" t="s">
        <v>69</v>
      </c>
      <c r="D18" s="4" t="s">
        <v>101</v>
      </c>
      <c r="E18" s="4" t="s">
        <v>102</v>
      </c>
    </row>
    <row r="20" spans="1:5" s="5" customFormat="1" x14ac:dyDescent="0.25">
      <c r="A20" s="5" t="s">
        <v>103</v>
      </c>
    </row>
    <row r="21" spans="1:5" x14ac:dyDescent="0.25">
      <c r="A21" t="s">
        <v>104</v>
      </c>
    </row>
    <row r="22" spans="1:5" x14ac:dyDescent="0.25">
      <c r="A22" t="s">
        <v>105</v>
      </c>
    </row>
    <row r="23" spans="1:5" x14ac:dyDescent="0.25">
      <c r="A23" t="s">
        <v>106</v>
      </c>
    </row>
    <row r="24" spans="1:5" x14ac:dyDescent="0.25">
      <c r="A24" t="s">
        <v>107</v>
      </c>
    </row>
    <row r="25" spans="1:5" x14ac:dyDescent="0.25">
      <c r="A25" t="s">
        <v>108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Whiskies</vt:lpstr>
      <vt:lpstr>Instructions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2026-03-17T14:09:40Z</dcterms:created>
  <dcterms:modified xsi:type="dcterms:W3CDTF">2026-04-23T13:56:50Z</dcterms:modified>
  <cp:category/>
  <cp:contentStatus/>
</cp:coreProperties>
</file>